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rtafolio" sheetId="1" r:id="rId5"/>
    <sheet state="visible" name="Simulacion historica" sheetId="2" r:id="rId6"/>
  </sheets>
  <definedNames/>
  <calcPr/>
</workbook>
</file>

<file path=xl/sharedStrings.xml><?xml version="1.0" encoding="utf-8"?>
<sst xmlns="http://schemas.openxmlformats.org/spreadsheetml/2006/main" count="21" uniqueCount="21">
  <si>
    <t>Ingresa los porcentajes en la columna Peso %. La suma debe ser 100% para calcular tu portafolio.</t>
  </si>
  <si>
    <t xml:space="preserve">Activo </t>
  </si>
  <si>
    <t>Peso %</t>
  </si>
  <si>
    <t>Retorno anual historico</t>
  </si>
  <si>
    <t>Retorno ponderado</t>
  </si>
  <si>
    <t>Volatilidad %</t>
  </si>
  <si>
    <t>CSPX</t>
  </si>
  <si>
    <t>EIMI</t>
  </si>
  <si>
    <t>TES</t>
  </si>
  <si>
    <t>BTC</t>
  </si>
  <si>
    <t>ORO</t>
  </si>
  <si>
    <t>Total</t>
  </si>
  <si>
    <t>Rentabilidad</t>
  </si>
  <si>
    <t>Volatilidad</t>
  </si>
  <si>
    <t>Perfil</t>
  </si>
  <si>
    <t>Simulación basada en $1.000 USD invertidos en 2015. Rentabilidades históricas aproximadas.</t>
  </si>
  <si>
    <t>Año</t>
  </si>
  <si>
    <t>Conservador</t>
  </si>
  <si>
    <t>Moderado</t>
  </si>
  <si>
    <t>Agresivo</t>
  </si>
  <si>
    <t>Ganancia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</si>
</sst>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$]#,##0"/>
  </numFmts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  <font>
      <b/>
      <color theme="0"/>
      <name val="Arial"/>
      <scheme val="minor"/>
    </font>
    <font>
      <color theme="0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0C96E"/>
        <bgColor rgb="FFF0C96E"/>
      </patternFill>
    </fill>
    <fill>
      <patternFill patternType="solid">
        <fgColor rgb="FF6D9EEB"/>
        <bgColor rgb="FF6D9EEB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1" fillId="3" fontId="2" numFmtId="0" xfId="0" applyAlignment="1" applyBorder="1" applyFill="1" applyFont="1">
      <alignment horizontal="center" readingOrder="0"/>
    </xf>
    <xf borderId="1" fillId="0" fontId="3" numFmtId="0" xfId="0" applyAlignment="1" applyBorder="1" applyFont="1">
      <alignment readingOrder="0"/>
    </xf>
    <xf borderId="1" fillId="0" fontId="3" numFmtId="9" xfId="0" applyAlignment="1" applyBorder="1" applyFont="1" applyNumberFormat="1">
      <alignment readingOrder="0"/>
    </xf>
    <xf borderId="1" fillId="0" fontId="3" numFmtId="9" xfId="0" applyBorder="1" applyFont="1" applyNumberFormat="1"/>
    <xf borderId="1" fillId="0" fontId="3" numFmtId="9" xfId="0" applyBorder="1" applyFont="1" applyNumberFormat="1"/>
    <xf borderId="1" fillId="0" fontId="3" numFmtId="0" xfId="0" applyBorder="1" applyFont="1"/>
    <xf borderId="0" fillId="0" fontId="4" numFmtId="0" xfId="0" applyFont="1"/>
    <xf borderId="1" fillId="0" fontId="5" numFmtId="0" xfId="0" applyAlignment="1" applyBorder="1" applyFont="1">
      <alignment horizontal="center" readingOrder="0"/>
    </xf>
    <xf borderId="1" fillId="0" fontId="3" numFmtId="164" xfId="0" applyAlignment="1" applyBorder="1" applyFont="1" applyNumberFormat="1">
      <alignment readingOrder="0"/>
    </xf>
    <xf borderId="1" fillId="0" fontId="3" numFmtId="164" xfId="0" applyBorder="1" applyFont="1" applyNumberFormat="1"/>
    <xf borderId="1" fillId="0" fontId="1" numFmtId="0" xfId="0" applyAlignment="1" applyBorder="1" applyFont="1">
      <alignment horizontal="center"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E8F0FE"/>
          <bgColor rgb="FFE8F0FE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6D9EEB"/>
          <bgColor rgb="FF6D9EEB"/>
        </patternFill>
      </fill>
      <border/>
    </dxf>
  </dxfs>
  <tableStyles count="2">
    <tableStyle count="3" pivot="0" name="Portafolio-style">
      <tableStyleElement dxfId="1" type="headerRow"/>
      <tableStyleElement dxfId="2" type="firstRowStripe"/>
      <tableStyleElement dxfId="1" type="secondRowStripe"/>
    </tableStyle>
    <tableStyle count="3" pivot="0" name="Simulacion historica-style">
      <tableStyleElement dxfId="3" type="headerRow"/>
      <tableStyleElement dxfId="2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800">
                <a:solidFill>
                  <a:srgbClr val="6D9EEB"/>
                </a:solidFill>
                <a:latin typeface="Arial black"/>
              </a:defRPr>
            </a:pPr>
            <a:r>
              <a:rPr b="1" sz="1800">
                <a:solidFill>
                  <a:srgbClr val="6D9EEB"/>
                </a:solidFill>
                <a:latin typeface="Arial black"/>
              </a:rPr>
              <a:t>Crecimiento segun perfil de riesgo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'Simulacion historica'!$B$2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'Simulacion historica'!$A$3:$A$14</c:f>
            </c:strRef>
          </c:cat>
          <c:val>
            <c:numRef>
              <c:f>'Simulacion historica'!$B$3:$B$14</c:f>
              <c:numCache/>
            </c:numRef>
          </c:val>
          <c:smooth val="0"/>
        </c:ser>
        <c:ser>
          <c:idx val="1"/>
          <c:order val="1"/>
          <c:tx>
            <c:strRef>
              <c:f>'Simulacion historica'!$C$2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'Simulacion historica'!$A$3:$A$14</c:f>
            </c:strRef>
          </c:cat>
          <c:val>
            <c:numRef>
              <c:f>'Simulacion historica'!$C$3:$C$14</c:f>
              <c:numCache/>
            </c:numRef>
          </c:val>
          <c:smooth val="0"/>
        </c:ser>
        <c:ser>
          <c:idx val="2"/>
          <c:order val="2"/>
          <c:tx>
            <c:strRef>
              <c:f>'Simulacion historica'!$D$2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'Simulacion historica'!$A$3:$A$14</c:f>
            </c:strRef>
          </c:cat>
          <c:val>
            <c:numRef>
              <c:f>'Simulacion historica'!$D$3:$D$14</c:f>
              <c:numCache/>
            </c:numRef>
          </c:val>
          <c:smooth val="0"/>
        </c:ser>
        <c:axId val="260843850"/>
        <c:axId val="1777348236"/>
      </c:lineChart>
      <c:catAx>
        <c:axId val="26084385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Año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77348236"/>
      </c:catAx>
      <c:valAx>
        <c:axId val="177734823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6084385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581025</xdr:colOff>
      <xdr:row>1</xdr:row>
      <xdr:rowOff>66675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3:E7" displayName="Table_1" name="Table_1" id="1">
  <tableColumns count="5">
    <tableColumn name="Column1" id="1"/>
    <tableColumn name="Column2" id="2"/>
    <tableColumn name="Column3" id="3"/>
    <tableColumn name="Column4" id="4"/>
    <tableColumn name="Column5" id="5"/>
  </tableColumns>
  <tableStyleInfo name="Portafolio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ref="A2:D14" displayName="Table_2" name="Table_2" id="2">
  <tableColumns count="4">
    <tableColumn name="Año" id="1"/>
    <tableColumn name="Conservador" id="2"/>
    <tableColumn name="Moderado" id="3"/>
    <tableColumn name="Agresivo" id="4"/>
  </tableColumns>
  <tableStyleInfo name="Simulacion historic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0"/>
    <col customWidth="1" min="2" max="2" width="10.5"/>
    <col customWidth="1" min="3" max="3" width="19.75"/>
    <col customWidth="1" min="4" max="4" width="16.5"/>
    <col customWidth="1" min="5" max="5" width="11.25"/>
    <col customWidth="1" min="6" max="6" width="10.5"/>
  </cols>
  <sheetData>
    <row r="1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>
      <c r="A3" s="3" t="s">
        <v>6</v>
      </c>
      <c r="B3" s="4">
        <v>0.3</v>
      </c>
      <c r="C3" s="4">
        <v>0.12</v>
      </c>
      <c r="D3" s="5">
        <f t="shared" ref="D3:D7" si="1">B3*C3</f>
        <v>0.036</v>
      </c>
      <c r="E3" s="4">
        <v>0.15</v>
      </c>
    </row>
    <row r="4">
      <c r="A4" s="3" t="s">
        <v>7</v>
      </c>
      <c r="B4" s="4">
        <v>0.3</v>
      </c>
      <c r="C4" s="4">
        <v>0.06</v>
      </c>
      <c r="D4" s="5">
        <f t="shared" si="1"/>
        <v>0.018</v>
      </c>
      <c r="E4" s="4">
        <v>0.18</v>
      </c>
    </row>
    <row r="5">
      <c r="A5" s="3" t="s">
        <v>8</v>
      </c>
      <c r="B5" s="4">
        <v>0.1</v>
      </c>
      <c r="C5" s="4">
        <v>0.08</v>
      </c>
      <c r="D5" s="5">
        <f t="shared" si="1"/>
        <v>0.008</v>
      </c>
      <c r="E5" s="4">
        <v>0.05</v>
      </c>
    </row>
    <row r="6">
      <c r="A6" s="3" t="s">
        <v>9</v>
      </c>
      <c r="B6" s="4">
        <v>0.2</v>
      </c>
      <c r="C6" s="4">
        <v>0.4</v>
      </c>
      <c r="D6" s="5">
        <f t="shared" si="1"/>
        <v>0.08</v>
      </c>
      <c r="E6" s="4">
        <v>0.7</v>
      </c>
    </row>
    <row r="7">
      <c r="A7" s="3" t="s">
        <v>10</v>
      </c>
      <c r="B7" s="4">
        <v>0.1</v>
      </c>
      <c r="C7" s="4">
        <v>0.07</v>
      </c>
      <c r="D7" s="5">
        <f t="shared" si="1"/>
        <v>0.007</v>
      </c>
      <c r="E7" s="4">
        <v>0.12</v>
      </c>
    </row>
    <row r="9">
      <c r="A9" s="2" t="s">
        <v>11</v>
      </c>
      <c r="B9" s="6">
        <f>SUM(B3:B7)</f>
        <v>1</v>
      </c>
    </row>
    <row r="10">
      <c r="A10" s="2" t="s">
        <v>12</v>
      </c>
      <c r="B10" s="6">
        <f>SUM(D3:D7)</f>
        <v>0.149</v>
      </c>
    </row>
    <row r="11">
      <c r="A11" s="2" t="s">
        <v>13</v>
      </c>
      <c r="B11" s="6">
        <f>SUMPRODUCT(B3:B7,E3:E7)</f>
        <v>0.256</v>
      </c>
    </row>
    <row r="12">
      <c r="A12" s="2" t="s">
        <v>14</v>
      </c>
      <c r="B12" s="7" t="str">
        <f>IF(E9&gt;20%,"Agresivo",IF(E9&gt;10,"Moderado","Conservador"))</f>
        <v>Conservador</v>
      </c>
      <c r="F12" s="8"/>
    </row>
  </sheetData>
  <mergeCells count="1">
    <mergeCell ref="A1:F1"/>
  </mergeCell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15</v>
      </c>
    </row>
    <row r="2">
      <c r="A2" s="9" t="s">
        <v>16</v>
      </c>
      <c r="B2" s="9" t="s">
        <v>17</v>
      </c>
      <c r="C2" s="9" t="s">
        <v>18</v>
      </c>
      <c r="D2" s="9" t="s">
        <v>19</v>
      </c>
    </row>
    <row r="3">
      <c r="A3" s="3">
        <v>2015.0</v>
      </c>
      <c r="B3" s="10">
        <v>1000.0</v>
      </c>
      <c r="C3" s="10">
        <v>1000.0</v>
      </c>
      <c r="D3" s="10">
        <v>1000.0</v>
      </c>
    </row>
    <row r="4">
      <c r="A4" s="3">
        <v>2016.0</v>
      </c>
      <c r="B4" s="11">
        <f t="shared" ref="B4:B13" si="1">B3*1.07</f>
        <v>1070</v>
      </c>
      <c r="C4" s="11">
        <f t="shared" ref="C4:C13" si="2">C3*1.1</f>
        <v>1100</v>
      </c>
      <c r="D4" s="11">
        <f t="shared" ref="D4:D13" si="3">D3*1.2</f>
        <v>1200</v>
      </c>
    </row>
    <row r="5">
      <c r="A5" s="3">
        <v>2017.0</v>
      </c>
      <c r="B5" s="11">
        <f t="shared" si="1"/>
        <v>1144.9</v>
      </c>
      <c r="C5" s="11">
        <f t="shared" si="2"/>
        <v>1210</v>
      </c>
      <c r="D5" s="11">
        <f t="shared" si="3"/>
        <v>1440</v>
      </c>
    </row>
    <row r="6">
      <c r="A6" s="3">
        <v>2018.0</v>
      </c>
      <c r="B6" s="11">
        <f t="shared" si="1"/>
        <v>1225.043</v>
      </c>
      <c r="C6" s="11">
        <f t="shared" si="2"/>
        <v>1331</v>
      </c>
      <c r="D6" s="11">
        <f t="shared" si="3"/>
        <v>1728</v>
      </c>
    </row>
    <row r="7">
      <c r="A7" s="3">
        <v>2019.0</v>
      </c>
      <c r="B7" s="11">
        <f t="shared" si="1"/>
        <v>1310.79601</v>
      </c>
      <c r="C7" s="11">
        <f t="shared" si="2"/>
        <v>1464.1</v>
      </c>
      <c r="D7" s="11">
        <f t="shared" si="3"/>
        <v>2073.6</v>
      </c>
    </row>
    <row r="8">
      <c r="A8" s="3">
        <v>2020.0</v>
      </c>
      <c r="B8" s="11">
        <f t="shared" si="1"/>
        <v>1402.551731</v>
      </c>
      <c r="C8" s="11">
        <f t="shared" si="2"/>
        <v>1610.51</v>
      </c>
      <c r="D8" s="11">
        <f t="shared" si="3"/>
        <v>2488.32</v>
      </c>
    </row>
    <row r="9">
      <c r="A9" s="3">
        <v>2021.0</v>
      </c>
      <c r="B9" s="11">
        <f t="shared" si="1"/>
        <v>1500.730352</v>
      </c>
      <c r="C9" s="11">
        <f t="shared" si="2"/>
        <v>1771.561</v>
      </c>
      <c r="D9" s="11">
        <f t="shared" si="3"/>
        <v>2985.984</v>
      </c>
    </row>
    <row r="10">
      <c r="A10" s="3">
        <v>2022.0</v>
      </c>
      <c r="B10" s="11">
        <f t="shared" si="1"/>
        <v>1605.781476</v>
      </c>
      <c r="C10" s="11">
        <f t="shared" si="2"/>
        <v>1948.7171</v>
      </c>
      <c r="D10" s="11">
        <f t="shared" si="3"/>
        <v>3583.1808</v>
      </c>
    </row>
    <row r="11">
      <c r="A11" s="3">
        <v>2023.0</v>
      </c>
      <c r="B11" s="11">
        <f t="shared" si="1"/>
        <v>1718.18618</v>
      </c>
      <c r="C11" s="11">
        <f t="shared" si="2"/>
        <v>2143.58881</v>
      </c>
      <c r="D11" s="11">
        <f t="shared" si="3"/>
        <v>4299.81696</v>
      </c>
    </row>
    <row r="12">
      <c r="A12" s="3">
        <v>2024.0</v>
      </c>
      <c r="B12" s="11">
        <f t="shared" si="1"/>
        <v>1838.459212</v>
      </c>
      <c r="C12" s="11">
        <f t="shared" si="2"/>
        <v>2357.947691</v>
      </c>
      <c r="D12" s="11">
        <f t="shared" si="3"/>
        <v>5159.780352</v>
      </c>
    </row>
    <row r="13">
      <c r="A13" s="3">
        <v>2025.0</v>
      </c>
      <c r="B13" s="11">
        <f t="shared" si="1"/>
        <v>1967.151357</v>
      </c>
      <c r="C13" s="11">
        <f t="shared" si="2"/>
        <v>2593.74246</v>
      </c>
      <c r="D13" s="11">
        <f t="shared" si="3"/>
        <v>6191.736422</v>
      </c>
    </row>
    <row r="14">
      <c r="A14" s="12" t="s">
        <v>20</v>
      </c>
      <c r="B14" s="11">
        <f t="shared" ref="B14:D14" si="4">B13-B3</f>
        <v>967.1513573</v>
      </c>
      <c r="C14" s="11">
        <f t="shared" si="4"/>
        <v>1593.74246</v>
      </c>
      <c r="D14" s="11">
        <f t="shared" si="4"/>
        <v>5191.736422</v>
      </c>
    </row>
  </sheetData>
  <mergeCells count="1">
    <mergeCell ref="A1:F1"/>
  </mergeCells>
  <drawing r:id="rId1"/>
  <tableParts count="1">
    <tablePart r:id="rId3"/>
  </tableParts>
</worksheet>
</file>